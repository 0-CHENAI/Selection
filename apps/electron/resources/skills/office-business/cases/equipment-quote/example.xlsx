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a2f4f66aee4b22" /><Relationship Type="http://schemas.openxmlformats.org/package/2006/relationships/metadata/core-properties" Target="/docProps/core.xml" Id="R70280190526343b0" /><Relationship Type="http://schemas.openxmlformats.org/officeDocument/2006/relationships/extended-properties" Target="/docProps/app.xml" Id="Rfeae15ba06924410" /><Relationship Type="http://schemas.openxmlformats.org/officeDocument/2006/relationships/custom-properties" Target="/docProps/custom.xml" Id="R92035c3ba83f49c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报价明细" sheetId="1" r:id="rId1"/>
  </x:sheets>
  <x:definedNames>
    <x:definedName name="_xlnm.Print_Area" localSheetId="0">报价明细!A1:G16</x:definedName>
  </x:definedNames>
  <x:calcPr fullCalcOnLoad="1"/>
</x:workbook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20"/>
      <x:color rgb="FF1F4E79"/>
      <x:name val="Calibri"/>
    </x:font>
    <x:font>
      <x:sz val="11"/>
      <x:color rgb="FF666666"/>
      <x:name val="Calibri"/>
    </x:font>
    <x:font>
      <x:b/>
      <x:sz val="11"/>
      <x:color rgb="FFFFFFFF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6EA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/>
    <x:xf numFmtId="0" fontId="1" fillId="0" borderId="0" applyFont="1"/>
    <x:xf numFmtId="0" fontId="2" fillId="0" borderId="0" applyFont="1"/>
    <x:xf numFmtId="0" fontId="3" fillId="2" borderId="0" applyFont="1" applyFill="1"/>
    <x:xf numFmtId="0" fontId="0" fillId="3" borderId="0" applyFill="1"/>
    <x:xf numFmtId="4" fontId="0" fillId="3" borderId="0" applyNumberFormat="1" applyFill="1"/>
    <x:xf numFmtId="4" fontId="0" fillId="0" borderId="0" applyNumberFormat="1"/>
    <x:xf numFmtId="0" fontId="4" fillId="0" borderId="0" applyFont="1"/>
    <x:xf numFmtId="4" fontId="4" fillId="0" borderId="0" applyNumberFormat="1" applyFont="1"/>
    <x:xf numFmtId="2" fontId="0" fillId="3" borderId="0" applyNumberFormat="1" applyFill="1"/>
    <x:xf numFmtId="9" fontId="0" fillId="3" borderId="0" applyNumberFormat="1" applyFill="1"/>
    <x:xf numFmtId="0" fontId="3" fillId="2" borderId="0" applyFont="1" applyFill="1" applyAlignment="1">
      <x:alignment horizontal="center"/>
    </x:xf>
    <x:xf numFmtId="0" fontId="0" fillId="3" borderId="0" applyFill="1" applyAlignment="1">
      <x:alignment horizontal="center"/>
    </x:xf>
    <x:xf numFmtId="0" fontId="0" fillId="0" borderId="0" applyAlignment="1">
      <x:alignment horizontal="center"/>
    </x:xf>
    <x:xf numFmtId="4" fontId="0" fillId="3" borderId="0" applyNumberFormat="1" applyFill="1" applyAlignment="1">
      <x:alignment horizontal="center"/>
    </x:xf>
    <x:xf numFmtId="4" fontId="0" fillId="0" borderId="0" applyNumberFormat="1" applyAlignment="1">
      <x:alignment horizontal="center"/>
    </x:xf>
    <x:xf numFmtId="4" fontId="4" fillId="0" borderId="0" applyNumberFormat="1" applyFont="1" applyAlignment="1">
      <x:alignment horizontal="center"/>
    </x:xf>
    <x:xf numFmtId="2" fontId="0" fillId="3" borderId="0" applyNumberFormat="1" applyFill="1" applyAlignment="1">
      <x:alignment horizontal="center"/>
    </x:xf>
    <x:xf numFmtId="9" fontId="0" fillId="3" borderId="0" applyNumberFormat="1" applyFill="1" applyAlignment="1">
      <x:alignment horizontal="center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be3d9746fc80482b" /><Relationship Type="http://schemas.openxmlformats.org/officeDocument/2006/relationships/styles" Target="/xl/styles.xml" Id="Rd30b4698757c49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cols>
    <x:col min="1" max="1" width="22" customWidth="1"/>
    <x:col min="2" max="2" width="12" customWidth="1"/>
    <x:col min="3" max="3" width="16" customWidth="1"/>
    <x:col min="4" max="4" width="18" customWidth="1"/>
    <x:col min="5" max="5" width="18" customWidth="1"/>
    <x:col min="6" max="6" width="16" customWidth="1"/>
    <x:col min="7" max="7" width="20" customWidth="1"/>
  </x:cols>
  <x:sheetData>
    <x:row r="1">
      <x:c r="A1" s="1" t="str">
        <x:v>设备采购报价单</x:v>
      </x:c>
    </x:row>
    <x:row r="2">
      <x:c r="A2" s="2" t="str">
        <x:v>虚构样例 · 有效期与账户见下方，未填写的标待补充</x:v>
      </x:c>
    </x:row>
    <x:row r="4">
      <x:c r="A4" s="3" t="str">
        <x:v>品名</x:v>
      </x:c>
      <x:c r="B4" s="11" t="str">
        <x:v>数量</x:v>
      </x:c>
      <x:c r="C4" s="11" t="str">
        <x:v>单价</x:v>
      </x:c>
      <x:c r="D4" s="11" t="str">
        <x:v>金额</x:v>
      </x:c>
      <x:c r="E4" s="11" t="str">
        <x:v>折后</x:v>
      </x:c>
      <x:c r="F4" s="11" t="str">
        <x:v>税额</x:v>
      </x:c>
      <x:c r="G4" s="11" t="str">
        <x:v>价税合计</x:v>
      </x:c>
    </x:row>
    <x:row r="5">
      <x:c r="A5" t="str">
        <x:v>机架服务器</x:v>
      </x:c>
      <x:c r="B5" s="12">
        <x:v>5</x:v>
      </x:c>
      <x:c r="C5" s="14">
        <x:v>32000</x:v>
      </x:c>
      <x:c r="D5" s="15">
        <x:f>B5*C5</x:f>
        <x:v>160000</x:v>
      </x:c>
      <x:c r="E5" s="15">
        <x:f>D5*$B$8</x:f>
        <x:v>144000</x:v>
      </x:c>
      <x:c r="F5" s="15">
        <x:f>E5*$B$9</x:f>
        <x:v>18720</x:v>
      </x:c>
      <x:c r="G5" s="15">
        <x:f>E5+F5</x:f>
        <x:v>162720</x:v>
      </x:c>
    </x:row>
    <x:row r="6">
      <x:c r="A6" t="str">
        <x:v>安装调试</x:v>
      </x:c>
      <x:c r="B6" s="12">
        <x:v>1</x:v>
      </x:c>
      <x:c r="C6" s="14">
        <x:v>8000</x:v>
      </x:c>
      <x:c r="D6" s="15">
        <x:f>B6*C6</x:f>
        <x:v>8000</x:v>
      </x:c>
      <x:c r="E6" s="15">
        <x:f>D6*$B$8</x:f>
        <x:v>7200</x:v>
      </x:c>
      <x:c r="F6" s="15">
        <x:f>E6*$B$9</x:f>
        <x:v>936</x:v>
      </x:c>
      <x:c r="G6" s="15">
        <x:f>E6+F6</x:f>
        <x:v>8136</x:v>
      </x:c>
    </x:row>
    <x:row r="7">
      <x:c r="A7" s="7" t="str">
        <x:v>合计</x:v>
      </x:c>
      <x:c r="B7" s="13"/>
      <x:c r="C7" s="13"/>
      <x:c r="D7" s="16">
        <x:f>SUM(D5:D6)</x:f>
        <x:v>168000</x:v>
      </x:c>
      <x:c r="E7" s="16">
        <x:f>SUM(E5:E6)</x:f>
        <x:v>151200</x:v>
      </x:c>
      <x:c r="F7" s="16">
        <x:f>SUM(F5:F6)</x:f>
        <x:v>19656</x:v>
      </x:c>
      <x:c r="G7" s="16">
        <x:f>SUM(G5:G6)</x:f>
        <x:v>170856</x:v>
      </x:c>
    </x:row>
    <x:row r="8">
      <x:c r="A8" t="str">
        <x:v>折扣系数</x:v>
      </x:c>
      <x:c r="B8" s="17">
        <x:v>0.9</x:v>
      </x:c>
    </x:row>
    <x:row r="9">
      <x:c r="A9" t="str">
        <x:v>税率</x:v>
      </x:c>
      <x:c r="B9" s="18">
        <x:v>0.13</x:v>
      </x:c>
    </x:row>
    <x:row r="11">
      <x:c r="A11" t="str">
        <x:v>报价方</x:v>
      </x:c>
      <x:c r="B11" t="str">
        <x:v>北窗科技（虚构）</x:v>
      </x:c>
    </x:row>
    <x:row r="12">
      <x:c r="A12" t="str">
        <x:v>客户</x:v>
      </x:c>
      <x:c r="B12" t="str">
        <x:v>待补充：客户名称</x:v>
      </x:c>
    </x:row>
    <x:row r="13">
      <x:c r="A13" t="str">
        <x:v>有效期</x:v>
      </x:c>
      <x:c r="B13" t="str">
        <x:v>待补充：有效期</x:v>
      </x:c>
    </x:row>
    <x:row r="14">
      <x:c r="A14" t="str">
        <x:v>付款条件</x:v>
      </x:c>
      <x:c r="B14" t="str">
        <x:v>待补充：付款条件</x:v>
      </x:c>
    </x:row>
    <x:row r="15">
      <x:c r="A15" t="str">
        <x:v>大写金额</x:v>
      </x:c>
      <x:c r="B15" t="str">
        <x:v>壹拾柒万零捌佰伍拾陆元整（与价税合计核对）</x:v>
      </x:c>
    </x:row>
    <x:row r="16">
      <x:c r="A16" t="str">
        <x:v>大写核对</x:v>
      </x:c>
      <x:c r="B16" t="str">
        <x:f>IF(ABS(G7-170856)&lt;0.01,"大写与价税合计一致","大写待核对")</x:f>
        <x:v>大写与价税合计一致</x:v>
      </x:c>
    </x:row>
  </x:sheetData>
  <x:pageSetup fitToWidth="1" fitToHeight="1" orientation="landscape"/>
</x:worksheet>
</file>

<file path=docProps/app.xml><?xml version="1.0" encoding="utf-8"?>
<ap:Properties xmlns:ap="http://schemas.openxmlformats.org/officeDocument/2006/extended-properties">
  <ap:Application>OfficeCLI/1.0.160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2026-11-01T06:01:51Z</dcterms:created>
  <cp:lastModifiedBy>OfficeCLI</cp:lastModifiedBy>
  <dcterms:modified xsi:type="dcterms:W3CDTF">2026-11-01T06:01:51Z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1.0.160</vt:lpwstr>
  </op:property>
  <op:property fmtid="{D5CDD505-2E9C-101B-9397-08002B2CF9AE}" pid="3" name="OfficeCLI.LastModified">
    <vt:lpwstr xmlns:vt="http://schemas.openxmlformats.org/officeDocument/2006/docPropsVTypes">2026-11-01T06:02:15Z</vt:lpwstr>
  </op:property>
</op:Properties>
</file>