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c9faa3afea451f" /><Relationship Type="http://schemas.openxmlformats.org/package/2006/relationships/metadata/core-properties" Target="/docProps/core.xml" Id="R0978eb1e4bc349e8" /><Relationship Type="http://schemas.openxmlformats.org/officeDocument/2006/relationships/extended-properties" Target="/docProps/app.xml" Id="R833c3236538f450c" /><Relationship Type="http://schemas.openxmlformats.org/officeDocument/2006/relationships/custom-properties" Target="/docProps/custom.xml" Id="R56ad07ccc5194464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计划" sheetId="1" r:id="rId1"/>
  </x:sheets>
  <x:definedNames>
    <x:definedName name="_xlnm.Print_Area" localSheetId="0">计划!A1:L11</x:definedName>
  </x:definedNames>
  <x:calcPr fullCalcOnLoad="1"/>
</x:workbook>
</file>

<file path=xl/styles.xml><?xml version="1.0" encoding="utf-8"?>
<x:styleSheet xmlns:x="http://schemas.openxmlformats.org/spreadsheetml/2006/main">
  <x:numFmts count="2">
    <x:numFmt numFmtId="164" formatCode="yyyy-mm-dd"/>
    <x:numFmt numFmtId="165" formatCode="mm/dd"/>
  </x:numFmts>
  <x:fonts count="4">
    <x:font>
      <x:sz val="11"/>
      <x:name val="Calibri"/>
    </x:font>
    <x:font>
      <x:b/>
      <x:sz val="18"/>
      <x:color rgb="FF1F4E79"/>
      <x:name val="Calibri"/>
    </x:font>
    <x:font>
      <x:sz val="11"/>
      <x:color rgb="FF666666"/>
      <x:name val="Calibri"/>
    </x:font>
    <x:font>
      <x:b/>
      <x:sz val="11"/>
      <x:color rgb="FFFFFFFF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FFD6EAF8"/>
      </x:patternFill>
    </x:fill>
    <x:fill>
      <x:patternFill patternType="solid">
        <x:fgColor rgb="FF1F4E7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/>
    <x:xf numFmtId="0" fontId="1" fillId="0" borderId="0" applyFont="1"/>
    <x:xf numFmtId="0" fontId="2" fillId="0" borderId="0" applyFont="1"/>
    <x:xf numFmtId="164" fontId="0" fillId="2" borderId="0" applyNumberFormat="1" applyFill="1"/>
    <x:xf numFmtId="0" fontId="3" fillId="3" borderId="0" applyFont="1" applyFill="1"/>
    <x:xf numFmtId="0" fontId="0" fillId="2" borderId="0" applyFill="1"/>
    <x:xf numFmtId="164" fontId="0" fillId="0" borderId="0" applyNumberFormat="1"/>
    <x:xf numFmtId="165" fontId="3" fillId="3" borderId="0" applyNumberFormat="1" applyFont="1" applyFill="1"/>
    <x:xf numFmtId="0" fontId="3" fillId="3" borderId="0" applyFont="1" applyFill="1" applyAlignment="1">
      <x:alignment horizontal="center"/>
    </x:xf>
    <x:xf numFmtId="0" fontId="0" fillId="0" borderId="0" applyAlignment="1">
      <x:alignment horizontal="center"/>
    </x:xf>
    <x:xf numFmtId="164" fontId="0" fillId="2" borderId="0" applyNumberFormat="1" applyFill="1" applyAlignment="1">
      <x:alignment horizontal="center"/>
    </x:xf>
    <x:xf numFmtId="0" fontId="0" fillId="2" borderId="0" applyFill="1" applyAlignment="1">
      <x:alignment horizontal="center"/>
    </x:xf>
    <x:xf numFmtId="164" fontId="0" fillId="0" borderId="0" applyNumberFormat="1" applyAlignment="1">
      <x:alignment horizontal="center"/>
    </x:xf>
    <x:xf numFmtId="165" fontId="3" fillId="3" borderId="0" applyNumberFormat="1" applyFont="1" applyFill="1" applyAlignment="1">
      <x:alignment horizont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theme" Target="/xl/theme/theme1.xml" Id="R4bf2e39b7b1545a4" /><Relationship Type="http://schemas.openxmlformats.org/officeDocument/2006/relationships/styles" Target="/xl/styles.xml" Id="R929d6b3954004f1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>
          <a:solidFill>
            <a:schemeClr val="phClr"/>
          </a:solidFill>
        </a:ln>
        <a:ln w="12700" cap="flat">
          <a:solidFill>
            <a:schemeClr val="phClr"/>
          </a:solidFill>
        </a:ln>
        <a:ln w="19050" cap="flat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x:worksheet xmlns:xm="http://schemas.microsoft.com/office/excel/2006/main" xmlns:x="http://schemas.openxmlformats.org/spreadsheetml/2006/main" xmlns:mc="http://schemas.openxmlformats.org/markup-compatibility/2006" xmlns:x14="http://schemas.microsoft.com/office/spreadsheetml/2009/9/main" mc:Ignorable="x14">
  <x:sheetPr>
    <x:pageSetUpPr fitToPage="1"/>
  </x:sheetPr>
  <x:cols>
    <x:col min="1" max="1" width="18" customWidth="1"/>
    <x:col min="2" max="2" width="14" customWidth="1"/>
    <x:col min="3" max="3" width="12" customWidth="1"/>
    <x:col min="4" max="4" width="14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</x:cols>
  <x:sheetData>
    <x:row r="1">
      <x:c r="A1" s="1" t="str">
        <x:v>三个月项目计划</x:v>
      </x:c>
    </x:row>
    <x:row r="2">
      <x:c r="A2" s="2" t="str">
        <x:v>虚构样例 · 工期按自然日 · 结束日 = 开始日 + 工期 - 1</x:v>
      </x:c>
    </x:row>
    <x:row r="3">
      <x:c r="A3" t="str">
        <x:v>项目开始</x:v>
      </x:c>
      <x:c r="B3" s="3">
        <x:v>46328</x:v>
      </x:c>
    </x:row>
    <x:row r="5">
      <x:c r="A5" s="8" t="str">
        <x:v>任务</x:v>
      </x:c>
      <x:c r="B5" s="8" t="str">
        <x:v>开始</x:v>
      </x:c>
      <x:c r="C5" s="8" t="str">
        <x:v>工期（天）</x:v>
      </x:c>
      <x:c r="D5" s="8" t="str">
        <x:v>结束</x:v>
      </x:c>
      <x:c r="E5" s="13">
        <x:f>$B$3+0</x:f>
        <x:v>46328</x:v>
      </x:c>
      <x:c r="F5" s="13">
        <x:f>$B$3+7</x:f>
        <x:v>46335</x:v>
      </x:c>
      <x:c r="G5" s="13">
        <x:f>$B$3+14</x:f>
        <x:v>46342</x:v>
      </x:c>
      <x:c r="H5" s="13">
        <x:f>$B$3+21</x:f>
        <x:v>46349</x:v>
      </x:c>
      <x:c r="I5" s="13">
        <x:f>$B$3+28</x:f>
        <x:v>46356</x:v>
      </x:c>
      <x:c r="J5" s="13">
        <x:f>$B$3+35</x:f>
        <x:v>46363</x:v>
      </x:c>
      <x:c r="K5" s="13">
        <x:f>$B$3+42</x:f>
        <x:v>46370</x:v>
      </x:c>
      <x:c r="L5" s="13">
        <x:f>$B$3+49</x:f>
        <x:v>46377</x:v>
      </x:c>
    </x:row>
    <x:row r="6">
      <x:c r="A6" s="9" t="str">
        <x:v>需求确认</x:v>
      </x:c>
      <x:c r="B6" s="10">
        <x:v>46328</x:v>
      </x:c>
      <x:c r="C6" s="11">
        <x:v>10</x:v>
      </x:c>
      <x:c r="D6" s="12">
        <x:f>B6+C6-1</x:f>
        <x:v>46337</x:v>
      </x:c>
      <x:c r="E6" s="9">
        <x:f>IF(AND(E$5&lt;=$D6,E$5+6&gt;=$B6),1,0)</x:f>
        <x:v>1</x:v>
      </x:c>
      <x:c r="F6" s="9">
        <x:f>IF(AND(F$5&lt;=$D6,F$5+6&gt;=$B6),1,0)</x:f>
        <x:v>1</x:v>
      </x:c>
      <x:c r="G6" s="9">
        <x:f>IF(AND(G$5&lt;=$D6,G$5+6&gt;=$B6),1,0)</x:f>
        <x:v>0</x:v>
      </x:c>
      <x:c r="H6" s="9">
        <x:f>IF(AND(H$5&lt;=$D6,H$5+6&gt;=$B6),1,0)</x:f>
        <x:v>0</x:v>
      </x:c>
      <x:c r="I6" s="9">
        <x:f>IF(AND(I$5&lt;=$D6,I$5+6&gt;=$B6),1,0)</x:f>
        <x:v>0</x:v>
      </x:c>
      <x:c r="J6" s="9">
        <x:f>IF(AND(J$5&lt;=$D6,J$5+6&gt;=$B6),1,0)</x:f>
        <x:v>0</x:v>
      </x:c>
      <x:c r="K6" s="9">
        <x:f>IF(AND(K$5&lt;=$D6,K$5+6&gt;=$B6),1,0)</x:f>
        <x:v>0</x:v>
      </x:c>
      <x:c r="L6" s="9">
        <x:f>IF(AND(L$5&lt;=$D6,L$5+6&gt;=$B6),1,0)</x:f>
        <x:v>0</x:v>
      </x:c>
    </x:row>
    <x:row r="7">
      <x:c r="A7" s="9" t="str">
        <x:v>方案设计</x:v>
      </x:c>
      <x:c r="B7" s="10">
        <x:v>46338</x:v>
      </x:c>
      <x:c r="C7" s="11">
        <x:v>14</x:v>
      </x:c>
      <x:c r="D7" s="12">
        <x:f>B7+C7-1</x:f>
        <x:v>46351</x:v>
      </x:c>
      <x:c r="E7" s="9">
        <x:f>IF(AND(E$5&lt;=$D7,E$5+6&gt;=$B7),1,0)</x:f>
        <x:v>0</x:v>
      </x:c>
      <x:c r="F7" s="9">
        <x:f>IF(AND(F$5&lt;=$D7,F$5+6&gt;=$B7),1,0)</x:f>
        <x:v>1</x:v>
      </x:c>
      <x:c r="G7" s="9">
        <x:f>IF(AND(G$5&lt;=$D7,G$5+6&gt;=$B7),1,0)</x:f>
        <x:v>1</x:v>
      </x:c>
      <x:c r="H7" s="9">
        <x:f>IF(AND(H$5&lt;=$D7,H$5+6&gt;=$B7),1,0)</x:f>
        <x:v>1</x:v>
      </x:c>
      <x:c r="I7" s="9">
        <x:f>IF(AND(I$5&lt;=$D7,I$5+6&gt;=$B7),1,0)</x:f>
        <x:v>0</x:v>
      </x:c>
      <x:c r="J7" s="9">
        <x:f>IF(AND(J$5&lt;=$D7,J$5+6&gt;=$B7),1,0)</x:f>
        <x:v>0</x:v>
      </x:c>
      <x:c r="K7" s="9">
        <x:f>IF(AND(K$5&lt;=$D7,K$5+6&gt;=$B7),1,0)</x:f>
        <x:v>0</x:v>
      </x:c>
      <x:c r="L7" s="9">
        <x:f>IF(AND(L$5&lt;=$D7,L$5+6&gt;=$B7),1,0)</x:f>
        <x:v>0</x:v>
      </x:c>
    </x:row>
    <x:row r="8">
      <x:c r="A8" s="9" t="str">
        <x:v>开发</x:v>
      </x:c>
      <x:c r="B8" s="10">
        <x:v>46352</x:v>
      </x:c>
      <x:c r="C8" s="11">
        <x:v>28</x:v>
      </x:c>
      <x:c r="D8" s="12">
        <x:f>B8+C8-1</x:f>
        <x:v>46379</x:v>
      </x:c>
      <x:c r="E8" s="9">
        <x:f>IF(AND(E$5&lt;=$D8,E$5+6&gt;=$B8),1,0)</x:f>
        <x:v>0</x:v>
      </x:c>
      <x:c r="F8" s="9">
        <x:f>IF(AND(F$5&lt;=$D8,F$5+6&gt;=$B8),1,0)</x:f>
        <x:v>0</x:v>
      </x:c>
      <x:c r="G8" s="9">
        <x:f>IF(AND(G$5&lt;=$D8,G$5+6&gt;=$B8),1,0)</x:f>
        <x:v>0</x:v>
      </x:c>
      <x:c r="H8" s="9">
        <x:f>IF(AND(H$5&lt;=$D8,H$5+6&gt;=$B8),1,0)</x:f>
        <x:v>1</x:v>
      </x:c>
      <x:c r="I8" s="9">
        <x:f>IF(AND(I$5&lt;=$D8,I$5+6&gt;=$B8),1,0)</x:f>
        <x:v>1</x:v>
      </x:c>
      <x:c r="J8" s="9">
        <x:f>IF(AND(J$5&lt;=$D8,J$5+6&gt;=$B8),1,0)</x:f>
        <x:v>1</x:v>
      </x:c>
      <x:c r="K8" s="9">
        <x:f>IF(AND(K$5&lt;=$D8,K$5+6&gt;=$B8),1,0)</x:f>
        <x:v>1</x:v>
      </x:c>
      <x:c r="L8" s="9">
        <x:f>IF(AND(L$5&lt;=$D8,L$5+6&gt;=$B8),1,0)</x:f>
        <x:v>1</x:v>
      </x:c>
    </x:row>
    <x:row r="9">
      <x:c r="A9" s="9" t="str">
        <x:v>联调</x:v>
      </x:c>
      <x:c r="B9" s="10">
        <x:v>46380</x:v>
      </x:c>
      <x:c r="C9" s="11">
        <x:v>14</x:v>
      </x:c>
      <x:c r="D9" s="12">
        <x:f>B9+C9-1</x:f>
        <x:v>46393</x:v>
      </x:c>
      <x:c r="E9" s="9">
        <x:f>IF(AND(E$5&lt;=$D9,E$5+6&gt;=$B9),1,0)</x:f>
        <x:v>0</x:v>
      </x:c>
      <x:c r="F9" s="9">
        <x:f>IF(AND(F$5&lt;=$D9,F$5+6&gt;=$B9),1,0)</x:f>
        <x:v>0</x:v>
      </x:c>
      <x:c r="G9" s="9">
        <x:f>IF(AND(G$5&lt;=$D9,G$5+6&gt;=$B9),1,0)</x:f>
        <x:v>0</x:v>
      </x:c>
      <x:c r="H9" s="9">
        <x:f>IF(AND(H$5&lt;=$D9,H$5+6&gt;=$B9),1,0)</x:f>
        <x:v>0</x:v>
      </x:c>
      <x:c r="I9" s="9">
        <x:f>IF(AND(I$5&lt;=$D9,I$5+6&gt;=$B9),1,0)</x:f>
        <x:v>0</x:v>
      </x:c>
      <x:c r="J9" s="9">
        <x:f>IF(AND(J$5&lt;=$D9,J$5+6&gt;=$B9),1,0)</x:f>
        <x:v>0</x:v>
      </x:c>
      <x:c r="K9" s="9">
        <x:f>IF(AND(K$5&lt;=$D9,K$5+6&gt;=$B9),1,0)</x:f>
        <x:v>0</x:v>
      </x:c>
      <x:c r="L9" s="9">
        <x:f>IF(AND(L$5&lt;=$D9,L$5+6&gt;=$B9),1,0)</x:f>
        <x:v>1</x:v>
      </x:c>
    </x:row>
    <x:row r="10">
      <x:c r="A10" s="9" t="str">
        <x:v>试运行</x:v>
      </x:c>
      <x:c r="B10" s="10">
        <x:v>46394</x:v>
      </x:c>
      <x:c r="C10" s="11">
        <x:v>14</x:v>
      </x:c>
      <x:c r="D10" s="12">
        <x:f>B10+C10-1</x:f>
        <x:v>46407</x:v>
      </x:c>
      <x:c r="E10" s="9">
        <x:f>IF(AND(E$5&lt;=$D10,E$5+6&gt;=$B10),1,0)</x:f>
        <x:v>0</x:v>
      </x:c>
      <x:c r="F10" s="9">
        <x:f>IF(AND(F$5&lt;=$D10,F$5+6&gt;=$B10),1,0)</x:f>
        <x:v>0</x:v>
      </x:c>
      <x:c r="G10" s="9">
        <x:f>IF(AND(G$5&lt;=$D10,G$5+6&gt;=$B10),1,0)</x:f>
        <x:v>0</x:v>
      </x:c>
      <x:c r="H10" s="9">
        <x:f>IF(AND(H$5&lt;=$D10,H$5+6&gt;=$B10),1,0)</x:f>
        <x:v>0</x:v>
      </x:c>
      <x:c r="I10" s="9">
        <x:f>IF(AND(I$5&lt;=$D10,I$5+6&gt;=$B10),1,0)</x:f>
        <x:v>0</x:v>
      </x:c>
      <x:c r="J10" s="9">
        <x:f>IF(AND(J$5&lt;=$D10,J$5+6&gt;=$B10),1,0)</x:f>
        <x:v>0</x:v>
      </x:c>
      <x:c r="K10" s="9">
        <x:f>IF(AND(K$5&lt;=$D10,K$5+6&gt;=$B10),1,0)</x:f>
        <x:v>0</x:v>
      </x:c>
      <x:c r="L10" s="9">
        <x:f>IF(AND(L$5&lt;=$D10,L$5+6&gt;=$B10),1,0)</x:f>
        <x:v>0</x:v>
      </x:c>
    </x:row>
    <x:row r="11">
      <x:c r="A11" s="9" t="str">
        <x:v>验收</x:v>
      </x:c>
      <x:c r="B11" s="10">
        <x:v>46408</x:v>
      </x:c>
      <x:c r="C11" s="11">
        <x:v>7</x:v>
      </x:c>
      <x:c r="D11" s="12">
        <x:f>B11+C11-1</x:f>
        <x:v>46414</x:v>
      </x:c>
      <x:c r="E11" s="9">
        <x:f>IF(AND(E$5&lt;=$D11,E$5+6&gt;=$B11),1,0)</x:f>
        <x:v>0</x:v>
      </x:c>
      <x:c r="F11" s="9">
        <x:f>IF(AND(F$5&lt;=$D11,F$5+6&gt;=$B11),1,0)</x:f>
        <x:v>0</x:v>
      </x:c>
      <x:c r="G11" s="9">
        <x:f>IF(AND(G$5&lt;=$D11,G$5+6&gt;=$B11),1,0)</x:f>
        <x:v>0</x:v>
      </x:c>
      <x:c r="H11" s="9">
        <x:f>IF(AND(H$5&lt;=$D11,H$5+6&gt;=$B11),1,0)</x:f>
        <x:v>0</x:v>
      </x:c>
      <x:c r="I11" s="9">
        <x:f>IF(AND(I$5&lt;=$D11,I$5+6&gt;=$B11),1,0)</x:f>
        <x:v>0</x:v>
      </x:c>
      <x:c r="J11" s="9">
        <x:f>IF(AND(J$5&lt;=$D11,J$5+6&gt;=$B11),1,0)</x:f>
        <x:v>0</x:v>
      </x:c>
      <x:c r="K11" s="9">
        <x:f>IF(AND(K$5&lt;=$D11,K$5+6&gt;=$B11),1,0)</x:f>
        <x:v>0</x:v>
      </x:c>
      <x:c r="L11" s="9">
        <x:f>IF(AND(L$5&lt;=$D11,L$5+6&gt;=$B11),1,0)</x:f>
        <x:v>0</x:v>
      </x:c>
    </x:row>
  </x:sheetData>
  <x:conditionalFormatting sqref="E6:L11">
    <x:cfRule type="dataBar" priority="1">
      <x:dataBar>
        <x:cfvo type="num" val="0"/>
        <x:cfvo type="num" val="1"/>
        <x:color rgb="FF1F4E79"/>
      </x:dataBar>
      <x:extLst>
        <x:ext xmlns:x14="http://schemas.microsoft.com/office/spreadsheetml/2009/9/main" uri="{B025F937-C7B1-47D3-B67F-A62EFF666E3E}">
          <x14:id>{5A7A5F47-DF5C-4760-A4C8-0246157FAA58}</x14:id>
        </x:ext>
      </x:extLst>
    </x:cfRule>
  </x:conditionalFormatting>
  <x:pageSetup fitToWidth="1" fitToHeight="1" orientation="landscape"/>
  <x:extLst>
    <x: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A7A5F47-DF5C-4760-A4C8-0246157FAA58}">
            <x14:dataBar minLength="0" maxLength="100" axisPosition="automatic">
              <x14:cfvo type="num">
                <xm:f>0</xm:f>
              </x14:cfvo>
              <x14:cfvo type="num">
                <xm:f>1</xm:f>
              </x14:cfvo>
              <x14:fillColor rgb="FF1F4E79"/>
              <x14:negativeFillColor rgb="FFFF0000"/>
              <x14:axisColor rgb="FF000000"/>
            </x14:dataBar>
          </x14:cfRule>
          <xm:sqref>E6:L11</xm:sqref>
        </x14:conditionalFormatting>
      </x14:conditionalFormattings>
    </x:ext>
  </x:extLst>
</x:worksheet>
</file>

<file path=docProps/app.xml><?xml version="1.0" encoding="utf-8"?>
<ap:Properties xmlns:ap="http://schemas.openxmlformats.org/officeDocument/2006/extended-properties">
  <ap:Application>OfficeCLI/1.0.160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2026-11-01T06:02:43Z</dcterms:created>
  <cp:lastModifiedBy>OfficeCLI</cp:lastModifiedBy>
  <dcterms:modified xsi:type="dcterms:W3CDTF">2026-11-01T06:02:43Z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OfficeCLI.Version">
    <vt:lpwstr xmlns:vt="http://schemas.openxmlformats.org/officeDocument/2006/docPropsVTypes">1.0.160</vt:lpwstr>
  </op:property>
  <op:property fmtid="{D5CDD505-2E9C-101B-9397-08002B2CF9AE}" pid="3" name="OfficeCLI.LastModified">
    <vt:lpwstr xmlns:vt="http://schemas.openxmlformats.org/officeDocument/2006/docPropsVTypes">2026-11-01T06:03:37Z</vt:lpwstr>
  </op:property>
</op:Properties>
</file>